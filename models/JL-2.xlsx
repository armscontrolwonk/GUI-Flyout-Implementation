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le" sheetId="1" state="visible" r:id="rId1"/>
    <sheet name="Cd Tabl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color rgb="00555555"/>
      <sz val="9"/>
    </font>
    <font>
      <b val="1"/>
      <color rgb="00FFFFFF"/>
      <sz val="10"/>
    </font>
    <font>
      <b val="1"/>
      <color rgb="00000000"/>
      <sz val="11"/>
    </font>
    <font>
      <color rgb="00333333"/>
      <sz val="10"/>
    </font>
    <font>
      <b val="1"/>
      <color rgb="00FFFFFF"/>
      <sz val="13"/>
    </font>
    <font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164" fontId="7" fillId="8" borderId="0" applyAlignment="1" pivotButton="0" quotePrefix="0" xfId="0">
      <alignment horizontal="right" vertical="center"/>
    </xf>
    <xf numFmtId="2" fontId="7" fillId="8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164" fontId="3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  <col width="34" customWidth="1" min="9" max="9"/>
  </cols>
  <sheetData>
    <row r="1" ht="24" customHeight="1">
      <c r="A1" s="1" t="inlineStr">
        <is>
          <t>Thrusty — Missile Parameter Template</t>
        </is>
      </c>
    </row>
    <row r="2" ht="16" customHeight="1">
      <c r="A2" s="2" t="inlineStr">
        <is>
          <t>IDENTITY</t>
        </is>
      </c>
    </row>
    <row r="3">
      <c r="B3" s="3" t="inlineStr">
        <is>
          <t>Missile Name</t>
        </is>
      </c>
      <c r="C3" s="3" t="inlineStr"/>
      <c r="D3" s="4" t="inlineStr">
        <is>
          <t>JL-2</t>
        </is>
      </c>
      <c r="I3" s="5" t="inlineStr">
        <is>
          <t>Short identifying name</t>
        </is>
      </c>
    </row>
    <row r="5" ht="16" customHeight="1">
      <c r="A5" s="2" t="inlineStr">
        <is>
          <t>STAGES</t>
        </is>
      </c>
    </row>
    <row r="6">
      <c r="B6" s="6" t="inlineStr">
        <is>
          <t>Parameter</t>
        </is>
      </c>
      <c r="C6" s="6" t="inlineStr">
        <is>
          <t>Units</t>
        </is>
      </c>
      <c r="D6" s="6" t="inlineStr">
        <is>
          <t>Stage 1</t>
        </is>
      </c>
      <c r="E6" s="6" t="inlineStr">
        <is>
          <t>Stage 2</t>
        </is>
      </c>
      <c r="F6" s="6" t="inlineStr">
        <is>
          <t>Stage 3</t>
        </is>
      </c>
      <c r="G6" s="6" t="inlineStr">
        <is>
          <t>Stage 4</t>
        </is>
      </c>
      <c r="I6" s="6" t="inlineStr">
        <is>
          <t>Notes</t>
        </is>
      </c>
    </row>
    <row r="7">
      <c r="B7" s="3" t="inlineStr">
        <is>
          <t>Initial (launch) mass</t>
        </is>
      </c>
      <c r="C7" s="3" t="inlineStr">
        <is>
          <t>kg</t>
        </is>
      </c>
      <c r="D7" s="4" t="n">
        <v>50016</v>
      </c>
      <c r="E7" s="4" t="n">
        <v>23297</v>
      </c>
      <c r="F7" s="4" t="n">
        <v>8400</v>
      </c>
      <c r="G7" s="4" t="n"/>
      <c r="I7" s="5" t="inlineStr">
        <is>
          <t>Structure + propellant + payload</t>
        </is>
      </c>
    </row>
    <row r="8">
      <c r="B8" s="3" t="inlineStr">
        <is>
          <t>Propellant mass</t>
        </is>
      </c>
      <c r="C8" s="3" t="inlineStr">
        <is>
          <t>kg</t>
        </is>
      </c>
      <c r="D8" s="4" t="n">
        <v>23250</v>
      </c>
      <c r="E8" s="4" t="n">
        <v>13110</v>
      </c>
      <c r="F8" s="4" t="n">
        <v>7392</v>
      </c>
      <c r="G8" s="4" t="n"/>
      <c r="I8" s="5" t="inlineStr"/>
    </row>
    <row r="9">
      <c r="B9" s="3" t="inlineStr">
        <is>
          <t>Final (burnout) mass</t>
        </is>
      </c>
      <c r="C9" s="3" t="inlineStr">
        <is>
          <t>kg</t>
        </is>
      </c>
      <c r="D9" s="4" t="n">
        <v>3170</v>
      </c>
      <c r="E9" s="4" t="n">
        <v>1788</v>
      </c>
      <c r="F9" s="4" t="n">
        <v>1008</v>
      </c>
      <c r="G9" s="4" t="n"/>
      <c r="I9" s="5" t="inlineStr">
        <is>
          <t>Initial − Propellant</t>
        </is>
      </c>
    </row>
    <row r="10">
      <c r="B10" s="3" t="inlineStr">
        <is>
          <t>Diameter</t>
        </is>
      </c>
      <c r="C10" s="3" t="inlineStr">
        <is>
          <t>m</t>
        </is>
      </c>
      <c r="D10" s="4" t="n">
        <v>2</v>
      </c>
      <c r="E10" s="4" t="n">
        <v>2</v>
      </c>
      <c r="F10" s="4" t="n">
        <v>1.8</v>
      </c>
      <c r="G10" s="4" t="n"/>
      <c r="I10" s="5" t="inlineStr"/>
    </row>
    <row r="11">
      <c r="B11" s="3" t="inlineStr">
        <is>
          <t>Length</t>
        </is>
      </c>
      <c r="C11" s="3" t="inlineStr">
        <is>
          <t>m</t>
        </is>
      </c>
      <c r="D11" s="4" t="n">
        <v>5.05</v>
      </c>
      <c r="E11" s="4" t="n">
        <v>2.94</v>
      </c>
      <c r="F11" s="4" t="n">
        <v>2.11</v>
      </c>
      <c r="G11" s="4" t="n"/>
      <c r="I11" s="5" t="inlineStr"/>
    </row>
    <row r="12">
      <c r="B12" s="3" t="inlineStr">
        <is>
          <t>Vacuum thrust</t>
        </is>
      </c>
      <c r="C12" s="3" t="inlineStr">
        <is>
          <t>N</t>
        </is>
      </c>
      <c r="D12" s="4" t="n">
        <v>1314920</v>
      </c>
      <c r="E12" s="4" t="n">
        <v>1314920</v>
      </c>
      <c r="F12" s="4" t="n">
        <v>1065085</v>
      </c>
      <c r="G12" s="4" t="n"/>
      <c r="I12" s="5" t="inlineStr">
        <is>
          <t>Reference only — model always derives thrust from Isp (see Derived thrust below)</t>
        </is>
      </c>
    </row>
    <row r="13">
      <c r="B13" s="3" t="inlineStr">
        <is>
          <t>Burn time</t>
        </is>
      </c>
      <c r="C13" s="3" t="inlineStr">
        <is>
          <t>s</t>
        </is>
      </c>
      <c r="D13" s="4" t="n">
        <v>47.1645505490343</v>
      </c>
      <c r="E13" s="4" t="n">
        <v>26.59377608725181</v>
      </c>
      <c r="F13" s="4" t="n">
        <v>18.51225383079049</v>
      </c>
      <c r="G13" s="4" t="n"/>
      <c r="I13" s="5" t="inlineStr"/>
    </row>
    <row r="14">
      <c r="B14" s="3" t="inlineStr">
        <is>
          <t>Isp (specific impulse)</t>
        </is>
      </c>
      <c r="C14" s="3" t="inlineStr">
        <is>
          <t>s</t>
        </is>
      </c>
      <c r="D14" s="4" t="n">
        <v>272</v>
      </c>
      <c r="E14" s="4" t="n">
        <v>272</v>
      </c>
      <c r="F14" s="4" t="n">
        <v>272</v>
      </c>
      <c r="G14" s="4" t="n"/>
      <c r="I14" s="5" t="inlineStr">
        <is>
          <t>Solid: 230–290  Storable liq: 280–310  Cryo: 420–450</t>
        </is>
      </c>
    </row>
    <row r="15">
      <c r="B15" s="3" t="inlineStr">
        <is>
          <t>Nozzle exit area</t>
        </is>
      </c>
      <c r="C15" s="3" t="inlineStr">
        <is>
          <t>m²</t>
        </is>
      </c>
      <c r="D15" s="4" t="n">
        <v>1.15</v>
      </c>
      <c r="E15" s="4" t="n">
        <v>0</v>
      </c>
      <c r="F15" s="4" t="n">
        <v>0</v>
      </c>
      <c r="G15" s="4" t="n"/>
      <c r="I15" s="5" t="inlineStr">
        <is>
          <t>0 = legacy 2% back-pressure approx</t>
        </is>
      </c>
    </row>
    <row r="16">
      <c r="B16" s="3" t="inlineStr">
        <is>
          <t>Solid motor</t>
        </is>
      </c>
      <c r="C16" s="3" t="inlineStr">
        <is>
          <t>—</t>
        </is>
      </c>
      <c r="D16" s="4" t="inlineStr">
        <is>
          <t>YES</t>
        </is>
      </c>
      <c r="E16" s="4" t="inlineStr">
        <is>
          <t>YES</t>
        </is>
      </c>
      <c r="F16" s="4" t="inlineStr">
        <is>
          <t>YES</t>
        </is>
      </c>
      <c r="G16" s="4" t="inlineStr">
        <is>
          <t>NO</t>
        </is>
      </c>
      <c r="I16" s="5" t="inlineStr">
        <is>
          <t>YES = cannot throttle or cut off</t>
        </is>
      </c>
    </row>
    <row r="17">
      <c r="B17" s="3" t="inlineStr">
        <is>
          <t>Grain type</t>
        </is>
      </c>
      <c r="C17" s="3" t="inlineStr">
        <is>
          <t>—</t>
        </is>
      </c>
      <c r="D17" s="4" t="inlineStr"/>
      <c r="E17" s="4" t="inlineStr"/>
      <c r="F17" s="4" t="inlineStr"/>
      <c r="G17" s="4" t="inlineStr"/>
      <c r="I17" s="5" t="inlineStr">
        <is>
          <t>Solid motors only; blank = constant thrust (liquid)</t>
        </is>
      </c>
    </row>
    <row r="18">
      <c r="B18" s="3" t="inlineStr">
        <is>
          <t>Peak thrust (solid only)</t>
        </is>
      </c>
      <c r="C18" s="3" t="inlineStr">
        <is>
          <t>N</t>
        </is>
      </c>
      <c r="D18" s="4" t="n">
        <v>0</v>
      </c>
      <c r="E18" s="4" t="n">
        <v>0</v>
      </c>
      <c r="F18" s="4" t="n">
        <v>0</v>
      </c>
      <c r="G18" s="4" t="n"/>
      <c r="I18" s="5" t="inlineStr">
        <is>
          <t>0 = derive from thrust × fill factor</t>
        </is>
      </c>
    </row>
    <row r="20" ht="16" customHeight="1">
      <c r="A20" s="7" t="inlineStr">
        <is>
          <t>COMPUTED — STAGES  (do not edit)</t>
        </is>
      </c>
    </row>
    <row r="21">
      <c r="B21" s="3" t="inlineStr">
        <is>
          <t>Burnout mass</t>
        </is>
      </c>
      <c r="C21" s="3" t="inlineStr">
        <is>
          <t>kg</t>
        </is>
      </c>
      <c r="D21" s="8">
        <f>IF(D7&gt;0,D7-D8,"—")</f>
        <v/>
      </c>
      <c r="E21" s="8">
        <f>IF(E7&gt;0,E7-E8,"—")</f>
        <v/>
      </c>
      <c r="F21" s="8">
        <f>IF(F7&gt;0,F7-F8,"—")</f>
        <v/>
      </c>
      <c r="G21" s="8">
        <f>IF(G7&gt;0,G7-G8,"—")</f>
        <v/>
      </c>
      <c r="I21" s="5" t="inlineStr">
        <is>
          <t>Initial − Propellant  (mass of the stack at burnout, before separation)</t>
        </is>
      </c>
    </row>
    <row r="22">
      <c r="B22" s="3" t="inlineStr">
        <is>
          <t>Mass fraction</t>
        </is>
      </c>
      <c r="C22" s="3" t="inlineStr">
        <is>
          <t>—</t>
        </is>
      </c>
      <c r="D22" s="9">
        <f>IF(D7&gt;0,D8/D7,"—")</f>
        <v/>
      </c>
      <c r="E22" s="9">
        <f>IF(E7&gt;0,E8/E7,"—")</f>
        <v/>
      </c>
      <c r="F22" s="9">
        <f>IF(F7&gt;0,F8/F7,"—")</f>
        <v/>
      </c>
      <c r="G22" s="9">
        <f>IF(G7&gt;0,G8/G7,"—")</f>
        <v/>
      </c>
      <c r="I22" s="5" t="inlineStr">
        <is>
          <t>Propellant / Initial</t>
        </is>
      </c>
    </row>
    <row r="23">
      <c r="B23" s="3" t="inlineStr">
        <is>
          <t>ΔV  (Tsiolkovsky)</t>
        </is>
      </c>
      <c r="C23" s="3" t="inlineStr">
        <is>
          <t>m/s</t>
        </is>
      </c>
      <c r="D23" s="8">
        <f>IF(AND(D7&gt;0,D7-D8&gt;0),D14*9.80665*LN(D7/(D7-D8)),"—")</f>
        <v/>
      </c>
      <c r="E23" s="8">
        <f>IF(AND(E7&gt;0,E7-E8&gt;0),E14*9.80665*LN(E7/(E7-E8)),"—")</f>
        <v/>
      </c>
      <c r="F23" s="8">
        <f>IF(AND(F7&gt;0,F7-F8&gt;0),F14*9.80665*LN(F7/(F7-F8)),"—")</f>
        <v/>
      </c>
      <c r="G23" s="8">
        <f>IF(AND(G7&gt;0,G7-G8&gt;0),G14*9.80665*LN(G7/(G7-G8)),"—")</f>
        <v/>
      </c>
      <c r="I23" s="5" t="inlineStr">
        <is>
          <t>Isp × g₀ × ln(Initial / (Initial − Propellant))</t>
        </is>
      </c>
    </row>
    <row r="24">
      <c r="B24" s="3" t="inlineStr">
        <is>
          <t>T/W at ignition</t>
        </is>
      </c>
      <c r="C24" s="3" t="inlineStr">
        <is>
          <t>—</t>
        </is>
      </c>
      <c r="D24" s="10">
        <f>IF(D7&gt;0,D12/(D7*9.80665),"—")</f>
        <v/>
      </c>
      <c r="E24" s="10">
        <f>IF(E7&gt;0,E12/(E7*9.80665),"—")</f>
        <v/>
      </c>
      <c r="F24" s="10">
        <f>IF(F7&gt;0,F12/(F7*9.80665),"—")</f>
        <v/>
      </c>
      <c r="G24" s="10">
        <f>IF(G7&gt;0,G12/(G7*9.80665),"—")</f>
        <v/>
      </c>
      <c r="I24" s="5" t="inlineStr">
        <is>
          <t>Thrust / (Initial × g₀)</t>
        </is>
      </c>
    </row>
    <row r="25">
      <c r="B25" s="3" t="inlineStr">
        <is>
          <t>Derived thrust</t>
        </is>
      </c>
      <c r="C25" s="3" t="inlineStr">
        <is>
          <t>N</t>
        </is>
      </c>
      <c r="D25" s="8">
        <f>IF(AND(D14&gt;0,D13&gt;0),D14*9.80665*D8/D13,"—")</f>
        <v/>
      </c>
      <c r="E25" s="8">
        <f>IF(AND(E14&gt;0,E13&gt;0),E14*9.80665*E8/E13,"—")</f>
        <v/>
      </c>
      <c r="F25" s="8">
        <f>IF(AND(F14&gt;0,F13&gt;0),F14*9.80665*F8/F13,"—")</f>
        <v/>
      </c>
      <c r="G25" s="8">
        <f>IF(AND(G14&gt;0,G13&gt;0),G14*9.80665*G8/G13,"—")</f>
        <v/>
      </c>
      <c r="I25" s="5" t="inlineStr">
        <is>
          <t>Isp × 9.80665 × Propellant / Burn time  (cross-check for Vacuum thrust above)</t>
        </is>
      </c>
    </row>
    <row r="27" ht="16" customHeight="1">
      <c r="A27" s="2" t="inlineStr">
        <is>
          <t>BOOSTERS  (strap-on, parallel to Stage 1)</t>
        </is>
      </c>
    </row>
    <row r="28">
      <c r="B28" s="6" t="inlineStr">
        <is>
          <t>Parameter</t>
        </is>
      </c>
      <c r="C28" s="6" t="inlineStr">
        <is>
          <t>Units</t>
        </is>
      </c>
      <c r="D28" s="6" t="inlineStr">
        <is>
          <t>Value</t>
        </is>
      </c>
      <c r="I28" s="6" t="inlineStr">
        <is>
          <t>Notes</t>
        </is>
      </c>
    </row>
    <row r="29">
      <c r="B29" s="3" t="inlineStr">
        <is>
          <t>Number of boosters</t>
        </is>
      </c>
      <c r="C29" s="3" t="inlineStr">
        <is>
          <t>—</t>
        </is>
      </c>
      <c r="D29" s="4" t="n">
        <v>0</v>
      </c>
      <c r="I29" s="5" t="inlineStr">
        <is>
          <t>0 = no strap-ons</t>
        </is>
      </c>
    </row>
    <row r="30">
      <c r="B30" s="3" t="inlineStr">
        <is>
          <t>Vacuum thrust per booster</t>
        </is>
      </c>
      <c r="C30" s="3" t="inlineStr">
        <is>
          <t>N</t>
        </is>
      </c>
      <c r="D30" s="4" t="n">
        <v>0</v>
      </c>
      <c r="I30" s="5" t="inlineStr">
        <is>
          <t>Per booster</t>
        </is>
      </c>
    </row>
    <row r="31">
      <c r="B31" s="3" t="inlineStr">
        <is>
          <t>Burn time</t>
        </is>
      </c>
      <c r="C31" s="3" t="inlineStr">
        <is>
          <t>s</t>
        </is>
      </c>
      <c r="D31" s="4" t="n">
        <v>0</v>
      </c>
      <c r="I31" s="5" t="inlineStr"/>
    </row>
    <row r="32">
      <c r="B32" s="3" t="inlineStr">
        <is>
          <t>Inert mass per booster</t>
        </is>
      </c>
      <c r="C32" s="3" t="inlineStr">
        <is>
          <t>kg</t>
        </is>
      </c>
      <c r="D32" s="4" t="n">
        <v>0</v>
      </c>
      <c r="I32" s="5" t="inlineStr"/>
    </row>
    <row r="33">
      <c r="B33" s="3" t="inlineStr">
        <is>
          <t>Propellant mass per booster</t>
        </is>
      </c>
      <c r="C33" s="3" t="inlineStr">
        <is>
          <t>kg</t>
        </is>
      </c>
      <c r="D33" s="4" t="n">
        <v>0</v>
      </c>
      <c r="I33" s="5" t="inlineStr"/>
    </row>
    <row r="34">
      <c r="B34" s="3" t="inlineStr">
        <is>
          <t>Isp</t>
        </is>
      </c>
      <c r="C34" s="3" t="inlineStr">
        <is>
          <t>s</t>
        </is>
      </c>
      <c r="D34" s="4" t="n">
        <v>0</v>
      </c>
      <c r="I34" s="5" t="inlineStr">
        <is>
          <t>Solid: 230–290 s</t>
        </is>
      </c>
    </row>
    <row r="35">
      <c r="B35" s="3" t="inlineStr">
        <is>
          <t>Nozzle exit area</t>
        </is>
      </c>
      <c r="C35" s="3" t="inlineStr">
        <is>
          <t>m²</t>
        </is>
      </c>
      <c r="D35" s="4" t="n">
        <v>0</v>
      </c>
      <c r="I35" s="5" t="inlineStr">
        <is>
          <t>0 = legacy approx</t>
        </is>
      </c>
    </row>
    <row r="36">
      <c r="B36" s="3" t="inlineStr">
        <is>
          <t>Diameter</t>
        </is>
      </c>
      <c r="C36" s="3" t="inlineStr">
        <is>
          <t>m</t>
        </is>
      </c>
      <c r="D36" s="4" t="n">
        <v>0</v>
      </c>
      <c r="I36" s="5" t="inlineStr"/>
    </row>
    <row r="37">
      <c r="B37" s="3" t="inlineStr">
        <is>
          <t>Length  (0 = 2 × diameter)</t>
        </is>
      </c>
      <c r="C37" s="3" t="inlineStr">
        <is>
          <t>m</t>
        </is>
      </c>
      <c r="D37" s="4" t="n">
        <v>0</v>
      </c>
      <c r="I37" s="5" t="inlineStr"/>
    </row>
    <row r="38">
      <c r="B38" s="3" t="inlineStr">
        <is>
          <t>Zero-lift Cd</t>
        </is>
      </c>
      <c r="C38" s="3" t="inlineStr">
        <is>
          <t>—</t>
        </is>
      </c>
      <c r="D38" s="4" t="n">
        <v>0.2</v>
      </c>
      <c r="I38" s="5" t="inlineStr">
        <is>
          <t>Default 0.20 (tangent ogive)</t>
        </is>
      </c>
    </row>
    <row r="39">
      <c r="B39" s="3" t="inlineStr">
        <is>
          <t>Core ignition delay</t>
        </is>
      </c>
      <c r="C39" s="3" t="inlineStr">
        <is>
          <t>s</t>
        </is>
      </c>
      <c r="D39" s="4" t="n">
        <v>0</v>
      </c>
      <c r="I39" s="5" t="inlineStr">
        <is>
          <t>0 = simultaneous (Soyuz); &gt;0 = sequential (LVM3, Titan IIIC)</t>
        </is>
      </c>
    </row>
    <row r="41" ht="16" customHeight="1">
      <c r="A41" s="7" t="inlineStr">
        <is>
          <t>COMPUTED — BOOSTERS  (do not edit)</t>
        </is>
      </c>
    </row>
    <row r="42">
      <c r="B42" s="3" t="inlineStr">
        <is>
          <t>Total booster propellant</t>
        </is>
      </c>
      <c r="C42" s="3" t="inlineStr">
        <is>
          <t>kg</t>
        </is>
      </c>
      <c r="D42" s="8">
        <f>IF(D29&gt;0,D29*D33,"—")</f>
        <v/>
      </c>
      <c r="I42" s="5" t="inlineStr"/>
    </row>
    <row r="43">
      <c r="B43" s="3" t="inlineStr">
        <is>
          <t>Total booster inert mass</t>
        </is>
      </c>
      <c r="C43" s="3" t="inlineStr">
        <is>
          <t>kg</t>
        </is>
      </c>
      <c r="D43" s="8">
        <f>IF(D29&gt;0,D29*D32,"—")</f>
        <v/>
      </c>
      <c r="I43" s="5" t="inlineStr"/>
    </row>
    <row r="44">
      <c r="B44" s="3" t="inlineStr">
        <is>
          <t>Liftoff T/W  (all boosters + Stage 1)</t>
        </is>
      </c>
      <c r="C44" s="3" t="inlineStr">
        <is>
          <t>—</t>
        </is>
      </c>
      <c r="D44" s="10">
        <f>IF(D7&gt;0,(D29*D30+D12)/(D7*9.80665),"—")</f>
        <v/>
      </c>
      <c r="I44" s="5" t="inlineStr">
        <is>
          <t>Combined booster + Stage 1 thrust vs full launch mass</t>
        </is>
      </c>
    </row>
    <row r="46" ht="16" customHeight="1">
      <c r="A46" s="2" t="inlineStr">
        <is>
          <t>PAYLOAD &amp; REENTRY VEHICLE</t>
        </is>
      </c>
    </row>
    <row r="47">
      <c r="B47" s="3" t="inlineStr">
        <is>
          <t>Payload (total)</t>
        </is>
      </c>
      <c r="C47" s="3" t="inlineStr">
        <is>
          <t>kg</t>
        </is>
      </c>
      <c r="D47" s="4" t="n">
        <v>0</v>
      </c>
      <c r="I47" s="5" t="inlineStr">
        <is>
          <t>Bus + all RVs</t>
        </is>
      </c>
    </row>
    <row r="48">
      <c r="B48" s="3" t="inlineStr">
        <is>
          <t>Bus (PBV) mass</t>
        </is>
      </c>
      <c r="C48" s="3" t="inlineStr">
        <is>
          <t>kg</t>
        </is>
      </c>
      <c r="D48" s="4" t="n">
        <v>0</v>
      </c>
      <c r="I48" s="5" t="inlineStr"/>
    </row>
    <row r="49">
      <c r="B49" s="3" t="inlineStr">
        <is>
          <t>Number of RVs</t>
        </is>
      </c>
      <c r="C49" s="3" t="inlineStr">
        <is>
          <t>—</t>
        </is>
      </c>
      <c r="D49" s="4" t="n">
        <v>1</v>
      </c>
      <c r="I49" s="5" t="inlineStr"/>
    </row>
    <row r="50">
      <c r="B50" s="3" t="inlineStr">
        <is>
          <t>RV mass (each)</t>
        </is>
      </c>
      <c r="C50" s="3" t="inlineStr">
        <is>
          <t>kg</t>
        </is>
      </c>
      <c r="D50" s="4" t="n"/>
      <c r="I50" s="5" t="inlineStr"/>
    </row>
    <row r="51">
      <c r="B51" s="3" t="inlineStr">
        <is>
          <t>RV separates at burnout</t>
        </is>
      </c>
      <c r="C51" s="3" t="inlineStr">
        <is>
          <t>—</t>
        </is>
      </c>
      <c r="D51" s="4" t="inlineStr">
        <is>
          <t>YES</t>
        </is>
      </c>
      <c r="I51" s="5" t="inlineStr">
        <is>
          <t>YES → empty stage follows a separate debris arc</t>
        </is>
      </c>
    </row>
    <row r="52">
      <c r="B52" s="3" t="inlineStr">
        <is>
          <t>RV β (ballistic coeff.)</t>
        </is>
      </c>
      <c r="C52" s="3" t="inlineStr">
        <is>
          <t>kg/m²</t>
        </is>
      </c>
      <c r="D52" s="4" t="n"/>
      <c r="I52" s="5" t="inlineStr">
        <is>
          <t>Higher β → less drag deceleration</t>
        </is>
      </c>
    </row>
    <row r="53">
      <c r="B53" s="3" t="inlineStr">
        <is>
          <t>RV nose shape</t>
        </is>
      </c>
      <c r="C53" s="3" t="inlineStr">
        <is>
          <t>—</t>
        </is>
      </c>
      <c r="D53" s="4" t="inlineStr">
        <is>
          <t>Cone</t>
        </is>
      </c>
      <c r="I53" s="5" t="inlineStr"/>
    </row>
    <row r="54">
      <c r="B54" s="3" t="inlineStr">
        <is>
          <t>RV diameter</t>
        </is>
      </c>
      <c r="C54" s="3" t="inlineStr">
        <is>
          <t>m</t>
        </is>
      </c>
      <c r="D54" s="4" t="n"/>
      <c r="I54" s="5" t="inlineStr"/>
    </row>
    <row r="55">
      <c r="B55" s="3" t="inlineStr">
        <is>
          <t>RV length</t>
        </is>
      </c>
      <c r="C55" s="3" t="inlineStr">
        <is>
          <t>m</t>
        </is>
      </c>
      <c r="D55" s="4" t="n"/>
      <c r="I55" s="5" t="inlineStr"/>
    </row>
    <row r="56">
      <c r="B56" s="3" t="inlineStr">
        <is>
          <t>PBV diameter</t>
        </is>
      </c>
      <c r="C56" s="3" t="inlineStr">
        <is>
          <t>m</t>
        </is>
      </c>
      <c r="D56" s="4" t="n">
        <v>0</v>
      </c>
      <c r="I56" s="5" t="inlineStr"/>
    </row>
    <row r="57">
      <c r="B57" s="3" t="inlineStr">
        <is>
          <t>PBV length</t>
        </is>
      </c>
      <c r="C57" s="3" t="inlineStr">
        <is>
          <t>m</t>
        </is>
      </c>
      <c r="D57" s="4" t="n">
        <v>0</v>
      </c>
      <c r="I57" s="5" t="inlineStr"/>
    </row>
    <row r="59" ht="16" customHeight="1">
      <c r="A59" s="2" t="inlineStr">
        <is>
          <t>FAIRING</t>
        </is>
      </c>
    </row>
    <row r="60">
      <c r="B60" s="3" t="inlineStr">
        <is>
          <t>Fairing mass</t>
        </is>
      </c>
      <c r="C60" s="3" t="inlineStr">
        <is>
          <t>kg</t>
        </is>
      </c>
      <c r="D60" s="4" t="n">
        <v>298</v>
      </c>
      <c r="I60" s="5" t="inlineStr">
        <is>
          <t>0 = no fairing</t>
        </is>
      </c>
    </row>
    <row r="61">
      <c r="B61" s="3" t="inlineStr">
        <is>
          <t>Jettison altitude</t>
        </is>
      </c>
      <c r="C61" s="3" t="inlineStr">
        <is>
          <t>km</t>
        </is>
      </c>
      <c r="D61" s="4" t="n">
        <v>2</v>
      </c>
      <c r="I61" s="5" t="inlineStr">
        <is>
          <t>Default 80 km; SLBM water-egress fairings shed low (~2 km)</t>
        </is>
      </c>
    </row>
    <row r="62">
      <c r="B62" s="3" t="inlineStr">
        <is>
          <t>Fairing length</t>
        </is>
      </c>
      <c r="C62" s="3" t="inlineStr">
        <is>
          <t>m</t>
        </is>
      </c>
      <c r="D62" s="4" t="n">
        <v>4.32</v>
      </c>
      <c r="I62" s="5" t="inlineStr"/>
    </row>
    <row r="63">
      <c r="B63" s="3" t="inlineStr">
        <is>
          <t>Fairing diameter</t>
        </is>
      </c>
      <c r="C63" s="3" t="inlineStr">
        <is>
          <t>m</t>
        </is>
      </c>
      <c r="D63" s="4" t="n">
        <v>2</v>
      </c>
      <c r="I63" s="5" t="inlineStr"/>
    </row>
    <row r="64">
      <c r="B64" s="3" t="inlineStr">
        <is>
          <t>Fairing nose shape</t>
        </is>
      </c>
      <c r="C64" s="3" t="inlineStr">
        <is>
          <t>—</t>
        </is>
      </c>
      <c r="D64" s="4" t="inlineStr">
        <is>
          <t>Parabola</t>
        </is>
      </c>
      <c r="I64" s="5" t="inlineStr"/>
    </row>
    <row r="65">
      <c r="B65" s="3" t="inlineStr">
        <is>
          <t>Fairing nose length</t>
        </is>
      </c>
      <c r="C65" s="3" t="inlineStr">
        <is>
          <t>m</t>
        </is>
      </c>
      <c r="D65" s="4" t="n">
        <v>1.5</v>
      </c>
      <c r="I65" s="5" t="inlineStr"/>
    </row>
    <row r="67" ht="16" customHeight="1">
      <c r="A67" s="2" t="inlineStr">
        <is>
          <t>AERODYNAMICS</t>
        </is>
      </c>
    </row>
    <row r="68">
      <c r="B68" s="3" t="inlineStr">
        <is>
          <t>Nose shape</t>
        </is>
      </c>
      <c r="C68" s="3" t="inlineStr">
        <is>
          <t>—</t>
        </is>
      </c>
      <c r="D68" s="4" t="inlineStr">
        <is>
          <t>Tangent Ogive</t>
        </is>
      </c>
      <c r="I68" s="5" t="inlineStr"/>
    </row>
    <row r="69">
      <c r="B69" s="3" t="inlineStr">
        <is>
          <t>Nose length</t>
        </is>
      </c>
      <c r="C69" s="3" t="inlineStr">
        <is>
          <t>m</t>
        </is>
      </c>
      <c r="D69" s="4" t="n">
        <v>0</v>
      </c>
      <c r="I69" s="5" t="inlineStr">
        <is>
          <t>Physical nose-cone length</t>
        </is>
      </c>
    </row>
    <row r="70">
      <c r="B70" s="3" t="inlineStr">
        <is>
          <t>Payload diameter</t>
        </is>
      </c>
      <c r="C70" s="3" t="inlineStr">
        <is>
          <t>m</t>
        </is>
      </c>
      <c r="D70" s="4" t="n">
        <v>0</v>
      </c>
      <c r="I70" s="5" t="inlineStr">
        <is>
          <t>0 = use body diameter</t>
        </is>
      </c>
    </row>
  </sheetData>
  <mergeCells count="10">
    <mergeCell ref="A59:I59"/>
    <mergeCell ref="A41:I41"/>
    <mergeCell ref="A2:I2"/>
    <mergeCell ref="D3:G3"/>
    <mergeCell ref="A5:I5"/>
    <mergeCell ref="A46:I46"/>
    <mergeCell ref="A1:I1"/>
    <mergeCell ref="A27:I27"/>
    <mergeCell ref="A67:I67"/>
    <mergeCell ref="A20:I20"/>
  </mergeCells>
  <dataValidations count="6">
    <dataValidation sqref="D16 E16 F16 G16" showDropDown="0" showInputMessage="0" showErrorMessage="0" allowBlank="1" type="list">
      <formula1>"YES,NO"</formula1>
    </dataValidation>
    <dataValidation sqref="D17 E17 F17 G17" showDropDown="0" showInputMessage="0" showErrorMessage="0" allowBlank="1" type="list">
      <formula1>",Tubular (progressive),Rod and tube (neutral),Double anchor (regressive),Star (neutral),Multi-fin (two-phase),Dual composition (two-phase)"</formula1>
    </dataValidation>
    <dataValidation sqref="D51" showDropDown="0" showInputMessage="0" showErrorMessage="0" allowBlank="1" type="list">
      <formula1>"YES,NO"</formula1>
    </dataValidation>
    <dataValidation sqref="D53" showDropDown="0" showInputMessage="0" showErrorMessage="0" allowBlank="1" type="list">
      <formula1>",Cone,Tangent Ogive,Von Karman (LD-Haack),LV-Haack (Sears-Haack),Parabola,Blunt Cylinder"</formula1>
    </dataValidation>
    <dataValidation sqref="D64" showDropDown="0" showInputMessage="0" showErrorMessage="0" allowBlank="1" type="list">
      <formula1>",Cone,Tangent Ogive,Von Karman (LD-Haack),LV-Haack (Sears-Haack),Parabola,Blunt Cylinder"</formula1>
    </dataValidation>
    <dataValidation sqref="D68" showDropDown="0" showInputMessage="0" showErrorMessage="0" allowBlank="1" type="list">
      <formula1>",Cone,Tangent Ogive,Von Karman (LD-Haack),LV-Haack (Sears-Haack),Parabola,Blunt Cylinder"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</cols>
  <sheetData>
    <row r="1" ht="22" customHeight="1">
      <c r="A1" s="11" t="inlineStr">
        <is>
          <t>Cd vs Mach  —  Drag Coefficient Table</t>
        </is>
      </c>
    </row>
    <row r="2" ht="28" customHeight="1">
      <c r="A2" s="12" t="inlineStr">
        <is>
          <t>Forden (2007) defaults pre-filled.  Edit or extend as needed.  Leave blank to use the built-in nose-shape model instead.</t>
        </is>
      </c>
    </row>
    <row r="3">
      <c r="A3" s="6" t="inlineStr">
        <is>
          <t>Mach</t>
        </is>
      </c>
      <c r="B3" s="6" t="inlineStr">
        <is>
          <t>Cd</t>
        </is>
      </c>
      <c r="C3" s="6" t="inlineStr">
        <is>
          <t>Notes</t>
        </is>
      </c>
    </row>
    <row r="4">
      <c r="A4" s="13" t="n"/>
      <c r="B4" s="13" t="n"/>
    </row>
    <row r="5">
      <c r="A5" s="13" t="n"/>
      <c r="B5" s="13" t="n"/>
    </row>
    <row r="6">
      <c r="A6" s="13" t="n"/>
      <c r="B6" s="13" t="n"/>
    </row>
    <row r="7">
      <c r="A7" s="13" t="n"/>
      <c r="B7" s="13" t="n"/>
    </row>
    <row r="8">
      <c r="A8" s="13" t="n"/>
      <c r="B8" s="13" t="n"/>
    </row>
    <row r="9">
      <c r="A9" s="13" t="n"/>
      <c r="B9" s="13" t="n"/>
    </row>
    <row r="10">
      <c r="A10" s="14" t="n"/>
      <c r="B10" s="14" t="n"/>
    </row>
    <row r="11">
      <c r="A11" s="14" t="n"/>
      <c r="B11" s="14" t="n"/>
    </row>
    <row r="12">
      <c r="A12" s="14" t="n"/>
      <c r="B12" s="14" t="n"/>
    </row>
    <row r="13">
      <c r="A13" s="14" t="n"/>
      <c r="B13" s="14" t="n"/>
    </row>
    <row r="14">
      <c r="A14" s="14" t="n"/>
      <c r="B14" s="14" t="n"/>
    </row>
    <row r="15">
      <c r="A15" s="14" t="n"/>
      <c r="B15" s="14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32" customWidth="1" min="5" max="5"/>
  </cols>
  <sheetData>
    <row r="1" ht="22" customHeight="1">
      <c r="A1" s="11" t="inlineStr">
        <is>
          <t>Reference Values  (read only)</t>
        </is>
      </c>
    </row>
    <row r="2" ht="16" customHeight="1">
      <c r="A2" s="2" t="inlineStr">
        <is>
          <t>Propellant Types — Typical Isp and Mass Fraction</t>
        </is>
      </c>
    </row>
    <row r="3">
      <c r="A3" s="6" t="inlineStr">
        <is>
          <t>Propellant type</t>
        </is>
      </c>
      <c r="B3" s="6" t="inlineStr">
        <is>
          <t>Isp (s)</t>
        </is>
      </c>
      <c r="C3" s="6" t="inlineStr">
        <is>
          <t>Mass fraction</t>
        </is>
      </c>
      <c r="D3" s="6" t="inlineStr">
        <is>
          <t>T/W at ignition</t>
        </is>
      </c>
      <c r="E3" s="6" t="inlineStr">
        <is>
          <t>Notes</t>
        </is>
      </c>
    </row>
    <row r="4">
      <c r="A4" s="3" t="inlineStr">
        <is>
          <t>Solid composite (HTPB/AP)</t>
        </is>
      </c>
      <c r="B4" s="3" t="inlineStr">
        <is>
          <t>230 – 290</t>
        </is>
      </c>
      <c r="C4" s="3" t="inlineStr">
        <is>
          <t>0.85 – 0.92</t>
        </is>
      </c>
      <c r="D4" s="3" t="inlineStr">
        <is>
          <t>1.5 – 3.0</t>
        </is>
      </c>
      <c r="E4" s="3" t="inlineStr">
        <is>
          <t>Most modern SRBMs/MRBMs</t>
        </is>
      </c>
    </row>
    <row r="5">
      <c r="A5" s="15" t="inlineStr">
        <is>
          <t>Solid double-base</t>
        </is>
      </c>
      <c r="B5" s="15" t="inlineStr">
        <is>
          <t>200 – 240</t>
        </is>
      </c>
      <c r="C5" s="15" t="inlineStr">
        <is>
          <t>0.80 – 0.88</t>
        </is>
      </c>
      <c r="D5" s="15" t="inlineStr">
        <is>
          <t>1.5 – 2.5</t>
        </is>
      </c>
      <c r="E5" s="15" t="inlineStr">
        <is>
          <t>Older/smaller motors</t>
        </is>
      </c>
    </row>
    <row r="6">
      <c r="A6" s="3" t="inlineStr">
        <is>
          <t>Storable liquid (N₂O₄/UDMH)</t>
        </is>
      </c>
      <c r="B6" s="3" t="inlineStr">
        <is>
          <t>280 – 310</t>
        </is>
      </c>
      <c r="C6" s="3" t="inlineStr">
        <is>
          <t>0.85 – 0.92</t>
        </is>
      </c>
      <c r="D6" s="3" t="inlineStr">
        <is>
          <t>1.2 – 2.0</t>
        </is>
      </c>
      <c r="E6" s="3" t="inlineStr">
        <is>
          <t>Hypergolic; Scud, Nodong, DF-series</t>
        </is>
      </c>
    </row>
    <row r="7">
      <c r="A7" s="15" t="inlineStr">
        <is>
          <t>Storable liquid (N₂O₄/MMH)</t>
        </is>
      </c>
      <c r="B7" s="15" t="inlineStr">
        <is>
          <t>285 – 320</t>
        </is>
      </c>
      <c r="C7" s="15" t="inlineStr">
        <is>
          <t>0.85 – 0.92</t>
        </is>
      </c>
      <c r="D7" s="15" t="inlineStr">
        <is>
          <t>1.2 – 2.0</t>
        </is>
      </c>
      <c r="E7" s="15" t="inlineStr">
        <is>
          <t>Hypergolic; many IRBMs</t>
        </is>
      </c>
    </row>
    <row r="8">
      <c r="A8" s="3" t="inlineStr">
        <is>
          <t>Cryogenic (LOX / RP-1)</t>
        </is>
      </c>
      <c r="B8" s="3" t="inlineStr">
        <is>
          <t>340 – 360</t>
        </is>
      </c>
      <c r="C8" s="3" t="inlineStr">
        <is>
          <t>0.88 – 0.94</t>
        </is>
      </c>
      <c r="D8" s="3" t="inlineStr">
        <is>
          <t>1.1 – 1.5</t>
        </is>
      </c>
      <c r="E8" s="3" t="inlineStr">
        <is>
          <t>Requires fuelling at launch</t>
        </is>
      </c>
    </row>
    <row r="9">
      <c r="A9" s="15" t="inlineStr">
        <is>
          <t>Cryogenic (LOX / LH₂)</t>
        </is>
      </c>
      <c r="B9" s="15" t="inlineStr">
        <is>
          <t>420 – 460</t>
        </is>
      </c>
      <c r="C9" s="15" t="inlineStr">
        <is>
          <t>0.86 – 0.92</t>
        </is>
      </c>
      <c r="D9" s="15" t="inlineStr">
        <is>
          <t>1.0 – 1.4</t>
        </is>
      </c>
      <c r="E9" s="15" t="inlineStr">
        <is>
          <t>Highest Isp; space launch vehicles</t>
        </is>
      </c>
    </row>
    <row r="10">
      <c r="A10" s="3" t="inlineStr">
        <is>
          <t>Cryogenic (LOX / CH₄)</t>
        </is>
      </c>
      <c r="B10" s="3" t="inlineStr">
        <is>
          <t>340 – 380</t>
        </is>
      </c>
      <c r="C10" s="3" t="inlineStr">
        <is>
          <t>0.87 – 0.93</t>
        </is>
      </c>
      <c r="D10" s="3" t="inlineStr">
        <is>
          <t>1.1 – 1.5</t>
        </is>
      </c>
      <c r="E10" s="3" t="inlineStr">
        <is>
          <t>Methane; newer systems</t>
        </is>
      </c>
    </row>
    <row r="12" ht="16" customHeight="1">
      <c r="A12" s="2" t="inlineStr">
        <is>
          <t>Guidance Mode Quick Reference</t>
        </is>
      </c>
    </row>
    <row r="13">
      <c r="A13" s="6" t="inlineStr">
        <is>
          <t>Mode</t>
        </is>
      </c>
      <c r="B13" s="6" t="inlineStr">
        <is>
          <t>Typical use</t>
        </is>
      </c>
      <c r="D13" s="6" t="inlineStr">
        <is>
          <t>Description</t>
        </is>
      </c>
    </row>
    <row r="14">
      <c r="A14" s="3" t="inlineStr">
        <is>
          <t>Gravity Turn</t>
        </is>
      </c>
      <c r="B14" s="3" t="inlineStr">
        <is>
          <t>IRBM / ICBM</t>
        </is>
      </c>
      <c r="D14" s="3" t="inlineStr">
        <is>
          <t>Kick to near-horizontal early in flight; thrust locked to velocity vector.</t>
        </is>
      </c>
    </row>
    <row r="15">
      <c r="A15" s="15" t="inlineStr">
        <is>
          <t>Loft</t>
        </is>
      </c>
      <c r="B15" s="15" t="inlineStr">
        <is>
          <t>SRBM / MRBM</t>
        </is>
      </c>
      <c r="D15" s="15" t="inlineStr">
        <is>
          <t>Pitch to a fixed loft angle at a constant rate, then hold.</t>
        </is>
      </c>
    </row>
  </sheetData>
  <mergeCells count="3">
    <mergeCell ref="A12:I12"/>
    <mergeCell ref="A1:E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2026-07-08T20:22:11Z</dcterms:created>
  <dcterms:modified xsi:type="dcterms:W3CDTF">2026-07-08T20:22:11Z</dcterms:modified>
</cp:coreProperties>
</file>